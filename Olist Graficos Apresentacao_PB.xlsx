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go.bernardino\Downloads\"/>
    </mc:Choice>
  </mc:AlternateContent>
  <xr:revisionPtr revIDLastSave="0" documentId="13_ncr:1_{70611DAE-0869-4053-BA8F-A3E5730B2A20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Índice" sheetId="1" r:id="rId1"/>
    <sheet name="1. Evolução Quarter" sheetId="2" r:id="rId2"/>
    <sheet name="2. Distribuição Reviews" sheetId="3" r:id="rId3"/>
    <sheet name="3. Atraso x Nota" sheetId="4" r:id="rId4"/>
    <sheet name="4. Lead Time por Região" sheetId="5" r:id="rId5"/>
    <sheet name="5. Pagamento" sheetId="6" r:id="rId6"/>
    <sheet name="6. Pareto Sellers" sheetId="7" r:id="rId7"/>
    <sheet name="7. Top Categorias" sheetId="8" r:id="rId8"/>
    <sheet name="8. Categorias Nordeste" sheetId="9" r:id="rId9"/>
    <sheet name="9. Drivers do Problema" sheetId="10" r:id="rId10"/>
    <sheet name="10. Plano de Ação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6" l="1"/>
  <c r="D6" i="6"/>
  <c r="D7" i="6"/>
  <c r="D4" i="6"/>
  <c r="C13" i="8"/>
  <c r="C12" i="8"/>
  <c r="C11" i="8"/>
  <c r="C10" i="8"/>
  <c r="C9" i="8"/>
  <c r="C8" i="8"/>
  <c r="C7" i="8"/>
  <c r="C6" i="8"/>
  <c r="C5" i="8"/>
  <c r="C4" i="8"/>
  <c r="D8" i="7"/>
  <c r="D7" i="7"/>
  <c r="D6" i="7"/>
  <c r="D5" i="7"/>
  <c r="D4" i="7"/>
  <c r="C7" i="6"/>
  <c r="C6" i="6"/>
  <c r="C5" i="6"/>
  <c r="C4" i="6"/>
  <c r="D8" i="4"/>
  <c r="D7" i="4"/>
  <c r="D6" i="4"/>
  <c r="D5" i="4"/>
  <c r="C8" i="3"/>
  <c r="C7" i="3"/>
  <c r="C6" i="3"/>
  <c r="C5" i="3"/>
  <c r="C4" i="3"/>
</calcChain>
</file>

<file path=xl/sharedStrings.xml><?xml version="1.0" encoding="utf-8"?>
<sst xmlns="http://schemas.openxmlformats.org/spreadsheetml/2006/main" count="148" uniqueCount="133">
  <si>
    <t>Olist E-Commerce — Gráficos da Apresentação</t>
  </si>
  <si>
    <t>#</t>
  </si>
  <si>
    <t>Aba</t>
  </si>
  <si>
    <t>Conteúdo</t>
  </si>
  <si>
    <t>1. Evolução Quarter</t>
  </si>
  <si>
    <t>Pedidos e Receita por trimestre — 2017 a 2018</t>
  </si>
  <si>
    <t>2. Distribuição Reviews</t>
  </si>
  <si>
    <t>Quantidade de avaliações por nota (1 a 5)</t>
  </si>
  <si>
    <t>3. Atraso x Nota</t>
  </si>
  <si>
    <t>Nota média por faixa de atraso na entrega</t>
  </si>
  <si>
    <t>4. Lead Time por Região</t>
  </si>
  <si>
    <t>Lead time médio e taxa de atraso regional</t>
  </si>
  <si>
    <t>5. Pagamento</t>
  </si>
  <si>
    <t>GMV por meio de pagamento</t>
  </si>
  <si>
    <t>6. Pareto Sellers</t>
  </si>
  <si>
    <t>Concentração de receita por vendedores</t>
  </si>
  <si>
    <t>7. Top Categorias</t>
  </si>
  <si>
    <t>Top 10 categorias por receita total</t>
  </si>
  <si>
    <t>8. Categorias Nordeste</t>
  </si>
  <si>
    <t>Top categorias do Nordeste — receita e volume</t>
  </si>
  <si>
    <t>9. Drivers do Problema</t>
  </si>
  <si>
    <t>Os 4 drivers do problema central</t>
  </si>
  <si>
    <t>10. Plano de Ação</t>
  </si>
  <si>
    <t>Sequência de implementação das 3 ações</t>
  </si>
  <si>
    <t>Evolução Trimestral — Pedidos e Receita (2017 a 2018)</t>
  </si>
  <si>
    <t>Quarter</t>
  </si>
  <si>
    <t>Pedidos</t>
  </si>
  <si>
    <t>Receita (R$)</t>
  </si>
  <si>
    <t>Q1/2017</t>
  </si>
  <si>
    <t>Q2/2017</t>
  </si>
  <si>
    <t>Q3/2017</t>
  </si>
  <si>
    <t>Q4/2017</t>
  </si>
  <si>
    <t>Q1/2018</t>
  </si>
  <si>
    <t>Q2/2018</t>
  </si>
  <si>
    <t>Distribuição das Avaliações dos Clientes (Review Score)</t>
  </si>
  <si>
    <t>Nota</t>
  </si>
  <si>
    <t>Quantidade</t>
  </si>
  <si>
    <t>% do Total</t>
  </si>
  <si>
    <t>1 estrela</t>
  </si>
  <si>
    <t>2 estrelas</t>
  </si>
  <si>
    <t>3 estrelas</t>
  </si>
  <si>
    <t>4 estrelas</t>
  </si>
  <si>
    <t>5 estrelas</t>
  </si>
  <si>
    <t>Impacto do Atraso na Satisfação — Nota Média por Faixa</t>
  </si>
  <si>
    <t>Faixa de Atraso</t>
  </si>
  <si>
    <t>Nota Média</t>
  </si>
  <si>
    <t>Variação vs No Prazo</t>
  </si>
  <si>
    <t>No prazo ou antes</t>
  </si>
  <si>
    <t>Referência</t>
  </si>
  <si>
    <t>Até 3 dias de atraso</t>
  </si>
  <si>
    <t>4 a 7 dias de atraso</t>
  </si>
  <si>
    <t>8 a 14 dias de atraso</t>
  </si>
  <si>
    <t>15 ou mais dias de atraso</t>
  </si>
  <si>
    <t>Lead Time Médio e Taxa de Atraso por Região</t>
  </si>
  <si>
    <t>Região</t>
  </si>
  <si>
    <t>Lead Time (dias)</t>
  </si>
  <si>
    <t>Taxa de Atraso (%)</t>
  </si>
  <si>
    <t>Pedidos Entregues</t>
  </si>
  <si>
    <t>Sudeste</t>
  </si>
  <si>
    <t>Sul</t>
  </si>
  <si>
    <t>Centro-Oeste</t>
  </si>
  <si>
    <t>Nordeste</t>
  </si>
  <si>
    <t>Norte</t>
  </si>
  <si>
    <t>Distribuição do GMV por Meio de Pagamento</t>
  </si>
  <si>
    <t>Meio de Pagamento</t>
  </si>
  <si>
    <t>Valor (R$)</t>
  </si>
  <si>
    <t>% do GMV</t>
  </si>
  <si>
    <t>Cartão de Crédito</t>
  </si>
  <si>
    <t>Boleto Bancário</t>
  </si>
  <si>
    <t>Voucher</t>
  </si>
  <si>
    <t>Cartão de Débito</t>
  </si>
  <si>
    <t>Concentração de Receita por Sellers (Pareto)</t>
  </si>
  <si>
    <t>Grupo de Sellers</t>
  </si>
  <si>
    <t>% Acumulado</t>
  </si>
  <si>
    <t>Top 1 seller</t>
  </si>
  <si>
    <t>Top 10 sellers</t>
  </si>
  <si>
    <t>Top 100 sellers</t>
  </si>
  <si>
    <t>Top 309 (10%)</t>
  </si>
  <si>
    <t>Demais 2.786 (90%)</t>
  </si>
  <si>
    <t>Top 10 Categorias por Receita Total da Plataforma</t>
  </si>
  <si>
    <t>Categoria</t>
  </si>
  <si>
    <t>Beleza e Saúde</t>
  </si>
  <si>
    <t>Relógios e Presentes</t>
  </si>
  <si>
    <t>Cama, Mesa e Banho</t>
  </si>
  <si>
    <t>Esporte e Lazer</t>
  </si>
  <si>
    <t>Informática Acessórios</t>
  </si>
  <si>
    <t>Móveis e Decoração</t>
  </si>
  <si>
    <t>Utilidades Domésticas</t>
  </si>
  <si>
    <t>Auto</t>
  </si>
  <si>
    <t>Ferramentas Jardim</t>
  </si>
  <si>
    <t>Telefonia</t>
  </si>
  <si>
    <t>Top Categorias do Nordeste — Receita, Volume e Atraso</t>
  </si>
  <si>
    <t>Atraso (%)</t>
  </si>
  <si>
    <t>Saúde e Beleza</t>
  </si>
  <si>
    <t>Informática</t>
  </si>
  <si>
    <t>Gadgets</t>
  </si>
  <si>
    <t>Os 4 Drivers do Problema — Cadeia Causal</t>
  </si>
  <si>
    <t>Driver</t>
  </si>
  <si>
    <t>O que é</t>
  </si>
  <si>
    <t>Métrica de Impacto</t>
  </si>
  <si>
    <t>Driver 1: Concentração de Sellers em SP</t>
  </si>
  <si>
    <t>59,7% dos sellers em SP. 95,3% dos pedidos do Nordeste partem de fora da região.</t>
  </si>
  <si>
    <t>Apenas 7 dos 309 sellers mais rentáveis têm base no NE</t>
  </si>
  <si>
    <t>Driver 2: Lead Time Excessivo</t>
  </si>
  <si>
    <t>19,5 dias no Nordeste vs 10,3 no Sudeste — quase o dobro.</t>
  </si>
  <si>
    <t>+89% de lead time por distância de rota</t>
  </si>
  <si>
    <t>Driver 3: Atraso de Prazo</t>
  </si>
  <si>
    <t>12,7% de atraso no NE vs 6,1% no SE. Atraso médio: 10,6 dias.</t>
  </si>
  <si>
    <t>6.535 pedidos atrasados na plataforma</t>
  </si>
  <si>
    <t>Driver 4: Nota Baixa e Churn</t>
  </si>
  <si>
    <t>Nota cai de 4,29 para 2,11 com 4 dias de atraso (-51%).</t>
  </si>
  <si>
    <t>11.424 notas 1 (11,5% dos reviews) — 97% não voltam</t>
  </si>
  <si>
    <t>Plano de Ação Sequenciado — 3 Ações por Prazo</t>
  </si>
  <si>
    <t>Prioridade</t>
  </si>
  <si>
    <t>Ação</t>
  </si>
  <si>
    <t>Prazo</t>
  </si>
  <si>
    <t>Resultado Esperado</t>
  </si>
  <si>
    <t>Ação 3 — Prioritária</t>
  </si>
  <si>
    <t>Monitoramento de SLA e alertas proativos ao cliente</t>
  </si>
  <si>
    <t>60 dias</t>
  </si>
  <si>
    <t>Driver 3</t>
  </si>
  <si>
    <t>Redução do impacto nas notas sem mudança estrutural</t>
  </si>
  <si>
    <t>Ação 2</t>
  </si>
  <si>
    <t>Redução do custo de frete via seller local</t>
  </si>
  <si>
    <t>180 dias</t>
  </si>
  <si>
    <t>Driver 2</t>
  </si>
  <si>
    <t>Frete NE: 21,7% da receita → patamar nacional (16,6%)</t>
  </si>
  <si>
    <t>Ação 1</t>
  </si>
  <si>
    <t>Atração de sellers para o Nordeste nas categorias certas</t>
  </si>
  <si>
    <t>12 meses</t>
  </si>
  <si>
    <t>Driver 1</t>
  </si>
  <si>
    <t>LT 19,7d→13,6d | Atraso 12,7%→9,0% | Nota 3,89→4,25</t>
  </si>
  <si>
    <t>Valor por Milhão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</si>
</sst>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"/>
    <numFmt numFmtId="165" formatCode="0.0%"/>
    <numFmt numFmtId="166" formatCode="0.0"/>
  </numFmts>
  <fonts count="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F2937"/>
      <name val="Arial"/>
      <charset val="1"/>
    </font>
    <font>
      <b/>
      <sz val="10"/>
      <color rgb="FFB91C1C"/>
      <name val="Arial"/>
      <charset val="1"/>
    </font>
    <font>
      <b/>
      <sz val="10"/>
      <color rgb="FF15803D"/>
      <name val="Arial"/>
      <charset val="1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D4ED8"/>
        <bgColor rgb="FF2563EB"/>
      </patternFill>
    </fill>
    <fill>
      <patternFill patternType="solid">
        <fgColor rgb="FF2563EB"/>
        <bgColor rgb="FF1D4ED8"/>
      </patternFill>
    </fill>
    <fill>
      <patternFill patternType="solid">
        <fgColor rgb="FFF3F4F6"/>
        <bgColor rgb="FFF9F9F9"/>
      </patternFill>
    </fill>
    <fill>
      <patternFill patternType="solid">
        <fgColor rgb="FFFEE2E2"/>
        <bgColor rgb="FFF3F4F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2" fontId="0" fillId="0" borderId="0" xfId="0" applyNumberFormat="1"/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9D9D9"/>
      <rgbColor rgb="FF878787"/>
      <rgbColor rgb="FF93A9CE"/>
      <rgbColor rgb="FFBE4B48"/>
      <rgbColor rgb="FFF9F9F9"/>
      <rgbColor rgb="FFF3F4F6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BBB59"/>
      <rgbColor rgb="FFFFCC00"/>
      <rgbColor rgb="FFFF9900"/>
      <rgbColor rgb="FFFF6600"/>
      <rgbColor rgb="FF4672A8"/>
      <rgbColor rgb="FF969696"/>
      <rgbColor rgb="FF003366"/>
      <rgbColor rgb="FF4F81BD"/>
      <rgbColor rgb="FF003300"/>
      <rgbColor rgb="FF333300"/>
      <rgbColor rgb="FFB91C1C"/>
      <rgbColor rgb="FFC0504D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4E1"/>
      <color rgb="FF2967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Trimestral de Pedidos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Evolução Quarter'!$B$3</c:f>
              <c:strCache>
                <c:ptCount val="1"/>
                <c:pt idx="0">
                  <c:v>Pedidos</c:v>
                </c:pt>
              </c:strCache>
            </c:strRef>
          </c:tx>
          <c:spPr>
            <a:solidFill>
              <a:srgbClr val="2B34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Evolução Quarter'!$A$4:$A$9</c:f>
              <c:strCache>
                <c:ptCount val="6"/>
                <c:pt idx="0">
                  <c:v>Q1/2017</c:v>
                </c:pt>
                <c:pt idx="1">
                  <c:v>Q2/2017</c:v>
                </c:pt>
                <c:pt idx="2">
                  <c:v>Q3/2017</c:v>
                </c:pt>
                <c:pt idx="3">
                  <c:v>Q4/2017</c:v>
                </c:pt>
                <c:pt idx="4">
                  <c:v>Q1/2018</c:v>
                </c:pt>
                <c:pt idx="5">
                  <c:v>Q2/2018</c:v>
                </c:pt>
              </c:strCache>
            </c:strRef>
          </c:cat>
          <c:val>
            <c:numRef>
              <c:f>'1. Evolução Quarter'!$B$4:$B$9</c:f>
              <c:numCache>
                <c:formatCode>General</c:formatCode>
                <c:ptCount val="6"/>
                <c:pt idx="0">
                  <c:v>5262</c:v>
                </c:pt>
                <c:pt idx="1">
                  <c:v>9349</c:v>
                </c:pt>
                <c:pt idx="2">
                  <c:v>12642</c:v>
                </c:pt>
                <c:pt idx="3">
                  <c:v>17848</c:v>
                </c:pt>
                <c:pt idx="4">
                  <c:v>21208</c:v>
                </c:pt>
                <c:pt idx="5">
                  <c:v>19979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A-4B21-849D-180A17912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03279"/>
        <c:axId val="68527188"/>
      </c:barChart>
      <c:catAx>
        <c:axId val="67403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Quartil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8527188"/>
        <c:crosses val="autoZero"/>
        <c:auto val="1"/>
        <c:lblAlgn val="ctr"/>
        <c:lblOffset val="100"/>
        <c:noMultiLvlLbl val="0"/>
      </c:catAx>
      <c:valAx>
        <c:axId val="68527188"/>
        <c:scaling>
          <c:orientation val="minMax"/>
        </c:scaling>
        <c:delete val="0"/>
        <c:axPos val="l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 de Pedidos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4032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Trimestral de Receita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Evolução Quarter'!$C$3</c:f>
              <c:strCache>
                <c:ptCount val="1"/>
                <c:pt idx="0">
                  <c:v>Receita (R$)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9F-49C8-A4FD-7CAE345561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Evolução Quarter'!$A$4:$A$9</c:f>
              <c:strCache>
                <c:ptCount val="6"/>
                <c:pt idx="0">
                  <c:v>Q1/2017</c:v>
                </c:pt>
                <c:pt idx="1">
                  <c:v>Q2/2017</c:v>
                </c:pt>
                <c:pt idx="2">
                  <c:v>Q3/2017</c:v>
                </c:pt>
                <c:pt idx="3">
                  <c:v>Q4/2017</c:v>
                </c:pt>
                <c:pt idx="4">
                  <c:v>Q1/2018</c:v>
                </c:pt>
                <c:pt idx="5">
                  <c:v>Q2/2018</c:v>
                </c:pt>
              </c:strCache>
            </c:strRef>
          </c:cat>
          <c:val>
            <c:numRef>
              <c:f>'1. Evolução Quarter'!$C$4:$C$9</c:f>
              <c:numCache>
                <c:formatCode>"R$ "#,##0</c:formatCode>
                <c:ptCount val="6"/>
                <c:pt idx="0">
                  <c:v>880259</c:v>
                </c:pt>
                <c:pt idx="1">
                  <c:v>1521983</c:v>
                </c:pt>
                <c:pt idx="2">
                  <c:v>1994541</c:v>
                </c:pt>
                <c:pt idx="3">
                  <c:v>2852962</c:v>
                </c:pt>
                <c:pt idx="4">
                  <c:v>3267119</c:v>
                </c:pt>
                <c:pt idx="5">
                  <c:v>3338648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9F-49C8-A4FD-7CAE34556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29306"/>
        <c:axId val="44417870"/>
      </c:lineChart>
      <c:catAx>
        <c:axId val="7829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4417870"/>
        <c:crosses val="autoZero"/>
        <c:auto val="1"/>
        <c:lblAlgn val="ctr"/>
        <c:lblOffset val="100"/>
        <c:noMultiLvlLbl val="0"/>
      </c:catAx>
      <c:valAx>
        <c:axId val="44417870"/>
        <c:scaling>
          <c:orientation val="minMax"/>
        </c:scaling>
        <c:delete val="0"/>
        <c:axPos val="l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8293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Evolução</a:t>
            </a:r>
            <a:r>
              <a:rPr lang="pt-BR" b="1" baseline="0">
                <a:solidFill>
                  <a:sysClr val="windowText" lastClr="000000"/>
                </a:solidFill>
              </a:rPr>
              <a:t> Trimestral / Receita e Pedidos</a:t>
            </a:r>
            <a:endParaRPr lang="pt-BR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Evolução Quarter'!$B$3</c:f>
              <c:strCache>
                <c:ptCount val="1"/>
                <c:pt idx="0">
                  <c:v>Pedidos</c:v>
                </c:pt>
              </c:strCache>
            </c:strRef>
          </c:tx>
          <c:spPr>
            <a:solidFill>
              <a:srgbClr val="2B34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Evolução Quarter'!$A$4:$A$9</c:f>
              <c:strCache>
                <c:ptCount val="6"/>
                <c:pt idx="0">
                  <c:v>Q1/2017</c:v>
                </c:pt>
                <c:pt idx="1">
                  <c:v>Q2/2017</c:v>
                </c:pt>
                <c:pt idx="2">
                  <c:v>Q3/2017</c:v>
                </c:pt>
                <c:pt idx="3">
                  <c:v>Q4/2017</c:v>
                </c:pt>
                <c:pt idx="4">
                  <c:v>Q1/2018</c:v>
                </c:pt>
                <c:pt idx="5">
                  <c:v>Q2/2018</c:v>
                </c:pt>
              </c:strCache>
            </c:strRef>
          </c:cat>
          <c:val>
            <c:numRef>
              <c:f>'1. Evolução Quarter'!$B$4:$B$9</c:f>
              <c:numCache>
                <c:formatCode>General</c:formatCode>
                <c:ptCount val="6"/>
                <c:pt idx="0">
                  <c:v>5262</c:v>
                </c:pt>
                <c:pt idx="1">
                  <c:v>9349</c:v>
                </c:pt>
                <c:pt idx="2">
                  <c:v>12642</c:v>
                </c:pt>
                <c:pt idx="3">
                  <c:v>17848</c:v>
                </c:pt>
                <c:pt idx="4">
                  <c:v>21208</c:v>
                </c:pt>
                <c:pt idx="5">
                  <c:v>19979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7-404B-827D-4BBC520E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1043712671"/>
        <c:axId val="1043710751"/>
      </c:barChart>
      <c:lineChart>
        <c:grouping val="standard"/>
        <c:varyColors val="0"/>
        <c:ser>
          <c:idx val="1"/>
          <c:order val="1"/>
          <c:tx>
            <c:strRef>
              <c:f>'1. Evolução Quarter'!$C$3</c:f>
              <c:strCache>
                <c:ptCount val="1"/>
                <c:pt idx="0">
                  <c:v>Receita (R$)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tx>
                <c:rich>
                  <a:bodyPr/>
                  <a:lstStyle/>
                  <a:p>
                    <a:fld id="{A30A1930-27E6-49BC-A346-949B219161FD}" type="VALUE">
                      <a:rPr lang="en-US"/>
                      <a:pPr/>
                      <a:t>[VALOR]</a:t>
                    </a:fld>
                    <a:r>
                      <a:rPr lang="en-US"/>
                      <a:t>.338.648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DE7-404B-827D-4BBC520E8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Evolução Quarter'!$A$4:$A$9</c:f>
              <c:strCache>
                <c:ptCount val="6"/>
                <c:pt idx="0">
                  <c:v>Q1/2017</c:v>
                </c:pt>
                <c:pt idx="1">
                  <c:v>Q2/2017</c:v>
                </c:pt>
                <c:pt idx="2">
                  <c:v>Q3/2017</c:v>
                </c:pt>
                <c:pt idx="3">
                  <c:v>Q4/2017</c:v>
                </c:pt>
                <c:pt idx="4">
                  <c:v>Q1/2018</c:v>
                </c:pt>
                <c:pt idx="5">
                  <c:v>Q2/2018</c:v>
                </c:pt>
              </c:strCache>
            </c:strRef>
          </c:cat>
          <c:val>
            <c:numRef>
              <c:f>'1. Evolução Quarter'!$C$4:$C$9</c:f>
              <c:numCache>
                <c:formatCode>"R$ "#,##0</c:formatCode>
                <c:ptCount val="6"/>
                <c:pt idx="0">
                  <c:v>880259</c:v>
                </c:pt>
                <c:pt idx="1">
                  <c:v>1521983</c:v>
                </c:pt>
                <c:pt idx="2">
                  <c:v>1994541</c:v>
                </c:pt>
                <c:pt idx="3">
                  <c:v>2852962</c:v>
                </c:pt>
                <c:pt idx="4">
                  <c:v>3267119</c:v>
                </c:pt>
                <c:pt idx="5">
                  <c:v>3338648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7-404B-827D-4BBC520E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723711"/>
        <c:axId val="1043716511"/>
      </c:lineChart>
      <c:catAx>
        <c:axId val="104371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Quartiles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710751"/>
        <c:crosses val="autoZero"/>
        <c:auto val="1"/>
        <c:lblAlgn val="ctr"/>
        <c:lblOffset val="100"/>
        <c:noMultiLvlLbl val="0"/>
      </c:catAx>
      <c:valAx>
        <c:axId val="10437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2B34E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rgbClr val="2B34E1"/>
                    </a:solidFill>
                  </a:rPr>
                  <a:t>Pedidos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2B34E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B34E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712671"/>
        <c:crosses val="autoZero"/>
        <c:crossBetween val="between"/>
      </c:valAx>
      <c:valAx>
        <c:axId val="1043716511"/>
        <c:scaling>
          <c:orientation val="minMax"/>
        </c:scaling>
        <c:delete val="0"/>
        <c:axPos val="r"/>
        <c:numFmt formatCode="&quot;R$ 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723711"/>
        <c:crosses val="max"/>
        <c:crossBetween val="between"/>
        <c:majorUnit val="1000000"/>
        <c:dispUnits>
          <c:builtInUnit val="millions"/>
          <c:dispUnitsLbl>
            <c:layout>
              <c:manualLayout>
                <c:xMode val="edge"/>
                <c:yMode val="edge"/>
                <c:x val="0.95914761287750416"/>
                <c:y val="0.20875000000000005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b="1">
                      <a:solidFill>
                        <a:schemeClr val="accent6">
                          <a:lumMod val="75000"/>
                        </a:schemeClr>
                      </a:solidFill>
                    </a:rPr>
                    <a:t>Receita em Milhões (R$)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catAx>
        <c:axId val="1043723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37165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das Avaliações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Distribuição Reviews'!$B$3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2B34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Distribuição Reviews'!$A$4:$A$8</c:f>
              <c:strCache>
                <c:ptCount val="5"/>
                <c:pt idx="0">
                  <c:v>1 estrela</c:v>
                </c:pt>
                <c:pt idx="1">
                  <c:v>2 estrelas</c:v>
                </c:pt>
                <c:pt idx="2">
                  <c:v>3 estrelas</c:v>
                </c:pt>
                <c:pt idx="3">
                  <c:v>4 estrelas</c:v>
                </c:pt>
                <c:pt idx="4">
                  <c:v>5 estrelas</c:v>
                </c:pt>
              </c:strCache>
            </c:strRef>
          </c:cat>
          <c:val>
            <c:numRef>
              <c:f>'2. Distribuição Reviews'!$B$4:$B$8</c:f>
              <c:numCache>
                <c:formatCode>General</c:formatCode>
                <c:ptCount val="5"/>
                <c:pt idx="0">
                  <c:v>11424</c:v>
                </c:pt>
                <c:pt idx="1">
                  <c:v>3151</c:v>
                </c:pt>
                <c:pt idx="2">
                  <c:v>8179</c:v>
                </c:pt>
                <c:pt idx="3">
                  <c:v>19200</c:v>
                </c:pt>
                <c:pt idx="4">
                  <c:v>57420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6-4EDF-8F05-85C3FAE7E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0323"/>
        <c:axId val="21537499"/>
      </c:barChart>
      <c:catAx>
        <c:axId val="148203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Nota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1537499"/>
        <c:crosses val="autoZero"/>
        <c:auto val="1"/>
        <c:lblAlgn val="ctr"/>
        <c:lblOffset val="100"/>
        <c:noMultiLvlLbl val="0"/>
      </c:catAx>
      <c:valAx>
        <c:axId val="21537499"/>
        <c:scaling>
          <c:orientation val="minMax"/>
        </c:scaling>
        <c:delete val="0"/>
        <c:axPos val="l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 de Reviews</a:t>
                </a:r>
              </a:p>
            </c:rich>
          </c:tx>
          <c:layout>
            <c:manualLayout>
              <c:xMode val="edge"/>
              <c:yMode val="edge"/>
              <c:x val="1.6454587121046485E-2"/>
              <c:y val="0.2663518972290288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4820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Nota Média por Faixa de Atraso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Atraso x Nota'!$B$3</c:f>
              <c:strCache>
                <c:ptCount val="1"/>
                <c:pt idx="0">
                  <c:v>Nota Média</c:v>
                </c:pt>
              </c:strCache>
            </c:strRef>
          </c:tx>
          <c:spPr>
            <a:solidFill>
              <a:srgbClr val="2B34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Atraso x Nota'!$A$4:$A$8</c:f>
              <c:strCache>
                <c:ptCount val="5"/>
                <c:pt idx="0">
                  <c:v>No prazo ou antes</c:v>
                </c:pt>
                <c:pt idx="1">
                  <c:v>Até 3 dias de atraso</c:v>
                </c:pt>
                <c:pt idx="2">
                  <c:v>4 a 7 dias de atraso</c:v>
                </c:pt>
                <c:pt idx="3">
                  <c:v>8 a 14 dias de atraso</c:v>
                </c:pt>
                <c:pt idx="4">
                  <c:v>15 ou mais dias de atraso</c:v>
                </c:pt>
              </c:strCache>
            </c:strRef>
          </c:cat>
          <c:val>
            <c:numRef>
              <c:f>'3. Atraso x Nota'!$B$4:$B$8</c:f>
              <c:numCache>
                <c:formatCode>0.00</c:formatCode>
                <c:ptCount val="5"/>
                <c:pt idx="0">
                  <c:v>4.29</c:v>
                </c:pt>
                <c:pt idx="1">
                  <c:v>3.29</c:v>
                </c:pt>
                <c:pt idx="2">
                  <c:v>2.11</c:v>
                </c:pt>
                <c:pt idx="3">
                  <c:v>1.67</c:v>
                </c:pt>
                <c:pt idx="4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A-40FA-A7D4-204EDCB2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23633"/>
        <c:axId val="73512078"/>
      </c:barChart>
      <c:catAx>
        <c:axId val="55723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Faixa de Atraso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3512078"/>
        <c:crosses val="autoZero"/>
        <c:auto val="1"/>
        <c:lblAlgn val="ctr"/>
        <c:lblOffset val="100"/>
        <c:noMultiLvlLbl val="0"/>
      </c:catAx>
      <c:valAx>
        <c:axId val="73512078"/>
        <c:scaling>
          <c:orientation val="minMax"/>
        </c:scaling>
        <c:delete val="0"/>
        <c:axPos val="l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Nota Média (1 a 5)</a:t>
                </a:r>
              </a:p>
            </c:rich>
          </c:tx>
          <c:layout>
            <c:manualLayout>
              <c:xMode val="edge"/>
              <c:yMode val="edge"/>
              <c:x val="1.2951037357697016E-2"/>
              <c:y val="0.28208814655531661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5723633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Lead Time e Taxa de Atraso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Lead Time por Região'!$B$3</c:f>
              <c:strCache>
                <c:ptCount val="1"/>
                <c:pt idx="0">
                  <c:v>Lead Time (dias)</c:v>
                </c:pt>
              </c:strCache>
            </c:strRef>
          </c:tx>
          <c:spPr>
            <a:solidFill>
              <a:srgbClr val="2B34E1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0-41EB-4DAF-BC27-802238063FC5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41EB-4DAF-BC27-802238063FC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E-41EB-4DAF-BC27-802238063FC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41EB-4DAF-BC27-802238063F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Lead Time por Região'!$A$4:$A$8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Centro-Oeste</c:v>
                </c:pt>
                <c:pt idx="3">
                  <c:v>Nordeste</c:v>
                </c:pt>
                <c:pt idx="4">
                  <c:v>Norte</c:v>
                </c:pt>
              </c:strCache>
            </c:strRef>
          </c:cat>
          <c:val>
            <c:numRef>
              <c:f>'4. Lead Time por Região'!$B$4:$B$8</c:f>
              <c:numCache>
                <c:formatCode>0.0</c:formatCode>
                <c:ptCount val="5"/>
                <c:pt idx="0">
                  <c:v>10.3</c:v>
                </c:pt>
                <c:pt idx="1">
                  <c:v>13.6</c:v>
                </c:pt>
                <c:pt idx="2">
                  <c:v>14.6</c:v>
                </c:pt>
                <c:pt idx="3">
                  <c:v>19.5</c:v>
                </c:pt>
                <c:pt idx="4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B-4DAF-BC27-802238063FC5}"/>
            </c:ext>
          </c:extLst>
        </c:ser>
        <c:ser>
          <c:idx val="1"/>
          <c:order val="1"/>
          <c:tx>
            <c:strRef>
              <c:f>'4. Lead Time por Região'!$C$3</c:f>
              <c:strCache>
                <c:ptCount val="1"/>
                <c:pt idx="0">
                  <c:v>Taxa de Atraso (%)</c:v>
                </c:pt>
              </c:strCache>
            </c:strRef>
          </c:tx>
          <c:spPr>
            <a:solidFill>
              <a:schemeClr val="accent6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C-41EB-4DAF-BC27-802238063F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41EB-4DAF-BC27-802238063F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A-41EB-4DAF-BC27-802238063F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1EB-4DAF-BC27-802238063F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Lead Time por Região'!$A$4:$A$8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Centro-Oeste</c:v>
                </c:pt>
                <c:pt idx="3">
                  <c:v>Nordeste</c:v>
                </c:pt>
                <c:pt idx="4">
                  <c:v>Norte</c:v>
                </c:pt>
              </c:strCache>
            </c:strRef>
          </c:cat>
          <c:val>
            <c:numRef>
              <c:f>'4. Lead Time por Região'!$C$4:$C$8</c:f>
              <c:numCache>
                <c:formatCode>0.0</c:formatCode>
                <c:ptCount val="5"/>
                <c:pt idx="0">
                  <c:v>6.1</c:v>
                </c:pt>
                <c:pt idx="1">
                  <c:v>5.9</c:v>
                </c:pt>
                <c:pt idx="2">
                  <c:v>6.5</c:v>
                </c:pt>
                <c:pt idx="3">
                  <c:v>12.7</c:v>
                </c:pt>
                <c:pt idx="4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B-4DAF-BC27-802238063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37117"/>
        <c:axId val="11449110"/>
      </c:barChart>
      <c:catAx>
        <c:axId val="3413711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Região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1449110"/>
        <c:crosses val="autoZero"/>
        <c:auto val="1"/>
        <c:lblAlgn val="ctr"/>
        <c:lblOffset val="100"/>
        <c:noMultiLvlLbl val="0"/>
      </c:catAx>
      <c:valAx>
        <c:axId val="11449110"/>
        <c:scaling>
          <c:orientation val="minMax"/>
        </c:scaling>
        <c:delete val="0"/>
        <c:axPos val="b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1371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pPr>
              <a:defRPr sz="1400"/>
            </a:pPr>
            <a:r>
              <a:rPr lang="pt-BR" sz="1400"/>
              <a:t>Distribuição do GMV por Meio de Pagamento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 Pagamento'!$B$3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B34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Pagamento'!$A$4:$A$7</c:f>
              <c:strCache>
                <c:ptCount val="4"/>
                <c:pt idx="0">
                  <c:v>Cartão de Crédito</c:v>
                </c:pt>
                <c:pt idx="1">
                  <c:v>Boleto Bancário</c:v>
                </c:pt>
                <c:pt idx="2">
                  <c:v>Voucher</c:v>
                </c:pt>
                <c:pt idx="3">
                  <c:v>Cartão de Débito</c:v>
                </c:pt>
              </c:strCache>
            </c:strRef>
          </c:cat>
          <c:val>
            <c:numRef>
              <c:f>'5. Pagamento'!$B$4:$B$7</c:f>
              <c:numCache>
                <c:formatCode>"R$ "#,##0</c:formatCode>
                <c:ptCount val="4"/>
                <c:pt idx="0">
                  <c:v>12542084</c:v>
                </c:pt>
                <c:pt idx="1">
                  <c:v>2869361</c:v>
                </c:pt>
                <c:pt idx="2">
                  <c:v>379437</c:v>
                </c:pt>
                <c:pt idx="3">
                  <c:v>217989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6-46D0-8C99-B5745BA85E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5803404"/>
        <c:axId val="68188428"/>
      </c:barChart>
      <c:catAx>
        <c:axId val="358034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Modelo de pagamento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8188428"/>
        <c:crosses val="autoZero"/>
        <c:auto val="1"/>
        <c:lblAlgn val="ctr"/>
        <c:lblOffset val="100"/>
        <c:noMultiLvlLbl val="0"/>
      </c:catAx>
      <c:valAx>
        <c:axId val="68188428"/>
        <c:scaling>
          <c:orientation val="minMax"/>
          <c:max val="14000000"/>
        </c:scaling>
        <c:delete val="0"/>
        <c:axPos val="b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Valor (R$)</a:t>
                </a:r>
              </a:p>
            </c:rich>
          </c:tx>
          <c:layout>
            <c:manualLayout>
              <c:xMode val="edge"/>
              <c:yMode val="edge"/>
              <c:x val="0.41807100172201117"/>
              <c:y val="0.84239157946723475"/>
            </c:manualLayout>
          </c:layout>
          <c:overlay val="0"/>
        </c:title>
        <c:numFmt formatCode="&quot;R$ &quot;#,##0" sourceLinked="0"/>
        <c:majorTickMark val="out"/>
        <c:minorTickMark val="none"/>
        <c:tickLblPos val="nextTo"/>
        <c:crossAx val="35803404"/>
        <c:crosses val="autoZero"/>
        <c:crossBetween val="between"/>
        <c:majorUnit val="2000000"/>
        <c:dispUnits>
          <c:builtInUnit val="thousands"/>
          <c:dispUnitsLbl>
            <c:layout>
              <c:manualLayout>
                <c:xMode val="edge"/>
                <c:yMode val="edge"/>
                <c:x val="0.50208741084263508"/>
                <c:y val="0.8415878013396304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pt-BR"/>
                    <a:t>por Milhares</a:t>
                  </a:r>
                </a:p>
              </c:rich>
            </c:tx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 Acumulada por Grupo de Sellers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 Pareto Sellers'!$C$3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2B34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chemeClr val="tx1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Pareto Sellers'!$A$4:$A$8</c:f>
              <c:strCache>
                <c:ptCount val="5"/>
                <c:pt idx="0">
                  <c:v>Top 1 seller</c:v>
                </c:pt>
                <c:pt idx="1">
                  <c:v>Top 10 sellers</c:v>
                </c:pt>
                <c:pt idx="2">
                  <c:v>Top 100 sellers</c:v>
                </c:pt>
                <c:pt idx="3">
                  <c:v>Top 309 (10%)</c:v>
                </c:pt>
                <c:pt idx="4">
                  <c:v>Demais 2.786 (90%)</c:v>
                </c:pt>
              </c:strCache>
            </c:strRef>
          </c:cat>
          <c:val>
            <c:numRef>
              <c:f>'6. Pareto Sellers'!$C$4:$C$8</c:f>
              <c:numCache>
                <c:formatCode>"R$ "#,##0</c:formatCode>
                <c:ptCount val="5"/>
                <c:pt idx="0">
                  <c:v>229472</c:v>
                </c:pt>
                <c:pt idx="1">
                  <c:v>1787241</c:v>
                </c:pt>
                <c:pt idx="2">
                  <c:v>6124587</c:v>
                </c:pt>
                <c:pt idx="3">
                  <c:v>9173621</c:v>
                </c:pt>
                <c:pt idx="4">
                  <c:v>4418022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3-41DE-B75A-B59AB3994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15718"/>
        <c:axId val="30711348"/>
      </c:barChart>
      <c:catAx>
        <c:axId val="222157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Grupo</a:t>
                </a:r>
                <a:r>
                  <a:rPr lang="pt-BR" baseline="0"/>
                  <a:t> de Sellers</a:t>
                </a: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0711348"/>
        <c:crosses val="autoZero"/>
        <c:auto val="1"/>
        <c:lblAlgn val="ctr"/>
        <c:lblOffset val="100"/>
        <c:noMultiLvlLbl val="0"/>
      </c:catAx>
      <c:valAx>
        <c:axId val="30711348"/>
        <c:scaling>
          <c:orientation val="minMax"/>
        </c:scaling>
        <c:delete val="0"/>
        <c:axPos val="b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(R$)</a:t>
                </a:r>
              </a:p>
            </c:rich>
          </c:tx>
          <c:layout>
            <c:manualLayout>
              <c:xMode val="edge"/>
              <c:yMode val="edge"/>
              <c:x val="0.38428046957617334"/>
              <c:y val="0.85432342629172153"/>
            </c:manualLayout>
          </c:layout>
          <c:overlay val="0"/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221571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49875059312413256"/>
                <c:y val="0.85359998444211072"/>
              </c:manualLayout>
            </c:layout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Categorias por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'7. Top Categorias'!$B$3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B34E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8D7-44CA-B927-FB86F98D3333}"/>
              </c:ext>
            </c:extLst>
          </c:dPt>
          <c:dPt>
            <c:idx val="1"/>
            <c:invertIfNegative val="0"/>
            <c:bubble3D val="0"/>
            <c:spPr>
              <a:solidFill>
                <a:srgbClr val="2B34E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28D7-44CA-B927-FB86F98D3333}"/>
              </c:ext>
            </c:extLst>
          </c:dPt>
          <c:dPt>
            <c:idx val="2"/>
            <c:invertIfNegative val="0"/>
            <c:bubble3D val="0"/>
            <c:spPr>
              <a:solidFill>
                <a:srgbClr val="2B34E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8D7-44CA-B927-FB86F98D3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Top Categorias'!$A$4:$A$13</c:f>
              <c:strCache>
                <c:ptCount val="10"/>
                <c:pt idx="0">
                  <c:v>Beleza e Saúde</c:v>
                </c:pt>
                <c:pt idx="1">
                  <c:v>Relógios e Presentes</c:v>
                </c:pt>
                <c:pt idx="2">
                  <c:v>Cama, Mesa e Banho</c:v>
                </c:pt>
                <c:pt idx="3">
                  <c:v>Esporte e Lazer</c:v>
                </c:pt>
                <c:pt idx="4">
                  <c:v>Informática Acessórios</c:v>
                </c:pt>
                <c:pt idx="5">
                  <c:v>Móveis e Decoração</c:v>
                </c:pt>
                <c:pt idx="6">
                  <c:v>Utilidades Domésticas</c:v>
                </c:pt>
                <c:pt idx="7">
                  <c:v>Auto</c:v>
                </c:pt>
                <c:pt idx="8">
                  <c:v>Ferramentas Jardim</c:v>
                </c:pt>
                <c:pt idx="9">
                  <c:v>Telefonia</c:v>
                </c:pt>
              </c:strCache>
            </c:strRef>
          </c:cat>
          <c:val>
            <c:numRef>
              <c:f>'7. Top Categorias'!$B$4:$B$13</c:f>
              <c:numCache>
                <c:formatCode>"R$ "#,##0</c:formatCode>
                <c:ptCount val="10"/>
                <c:pt idx="0">
                  <c:v>1258681</c:v>
                </c:pt>
                <c:pt idx="1">
                  <c:v>1205005</c:v>
                </c:pt>
                <c:pt idx="2">
                  <c:v>1036988</c:v>
                </c:pt>
                <c:pt idx="3">
                  <c:v>988048</c:v>
                </c:pt>
                <c:pt idx="4">
                  <c:v>911954</c:v>
                </c:pt>
                <c:pt idx="5">
                  <c:v>729762</c:v>
                </c:pt>
                <c:pt idx="6">
                  <c:v>632248</c:v>
                </c:pt>
                <c:pt idx="7">
                  <c:v>592720</c:v>
                </c:pt>
                <c:pt idx="8">
                  <c:v>485256</c:v>
                </c:pt>
                <c:pt idx="9">
                  <c:v>323667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7-44CA-B927-FB86F98D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46792"/>
        <c:axId val="70350962"/>
      </c:barChart>
      <c:catAx>
        <c:axId val="67546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0350962"/>
        <c:crosses val="autoZero"/>
        <c:auto val="1"/>
        <c:lblAlgn val="ctr"/>
        <c:lblOffset val="100"/>
        <c:noMultiLvlLbl val="0"/>
      </c:catAx>
      <c:valAx>
        <c:axId val="70350962"/>
        <c:scaling>
          <c:orientation val="minMax"/>
        </c:scaling>
        <c:delete val="0"/>
        <c:axPos val="b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(R$)</a:t>
                </a:r>
              </a:p>
            </c:rich>
          </c:tx>
          <c:layout>
            <c:manualLayout>
              <c:xMode val="edge"/>
              <c:yMode val="edge"/>
              <c:x val="0.41125152614350174"/>
              <c:y val="0.86415630715095959"/>
            </c:manualLayout>
          </c:layout>
          <c:overlay val="0"/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0" vert="horz"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546792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50534831460674157"/>
                <c:y val="0.86649350649350654"/>
              </c:manualLayout>
            </c:layout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 por Categoria — Nordeste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'8. Categorias Nordeste'!$C$3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2B34E1">
                <a:alpha val="95000"/>
              </a:srgbClr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Categorias Nordeste'!$A$4:$A$11</c:f>
              <c:strCache>
                <c:ptCount val="8"/>
                <c:pt idx="0">
                  <c:v>Saúde e Beleza</c:v>
                </c:pt>
                <c:pt idx="1">
                  <c:v>Relógios e Presentes</c:v>
                </c:pt>
                <c:pt idx="2">
                  <c:v>Informática</c:v>
                </c:pt>
                <c:pt idx="3">
                  <c:v>Esporte e Lazer</c:v>
                </c:pt>
                <c:pt idx="4">
                  <c:v>Auto</c:v>
                </c:pt>
                <c:pt idx="5">
                  <c:v>Gadgets</c:v>
                </c:pt>
                <c:pt idx="6">
                  <c:v>Móveis e Decoração</c:v>
                </c:pt>
                <c:pt idx="7">
                  <c:v>Telefonia</c:v>
                </c:pt>
              </c:strCache>
            </c:strRef>
          </c:cat>
          <c:val>
            <c:numRef>
              <c:f>'8. Categorias Nordeste'!$C$4:$C$11</c:f>
              <c:numCache>
                <c:formatCode>"R$ "#,##0</c:formatCode>
                <c:ptCount val="8"/>
                <c:pt idx="0">
                  <c:v>195557</c:v>
                </c:pt>
                <c:pt idx="1">
                  <c:v>160657</c:v>
                </c:pt>
                <c:pt idx="2">
                  <c:v>95716</c:v>
                </c:pt>
                <c:pt idx="3">
                  <c:v>94492</c:v>
                </c:pt>
                <c:pt idx="4">
                  <c:v>82314</c:v>
                </c:pt>
                <c:pt idx="5">
                  <c:v>74391</c:v>
                </c:pt>
                <c:pt idx="6">
                  <c:v>61956</c:v>
                </c:pt>
                <c:pt idx="7">
                  <c:v>60615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B-4E05-9C67-972964C07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2244"/>
        <c:axId val="70839738"/>
      </c:barChart>
      <c:catAx>
        <c:axId val="926722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0839738"/>
        <c:crosses val="autoZero"/>
        <c:auto val="1"/>
        <c:lblAlgn val="ctr"/>
        <c:lblOffset val="100"/>
        <c:noMultiLvlLbl val="0"/>
      </c:catAx>
      <c:valAx>
        <c:axId val="70839738"/>
        <c:scaling>
          <c:orientation val="minMax"/>
        </c:scaling>
        <c:delete val="0"/>
        <c:axPos val="b"/>
        <c:majorGridlines>
          <c:spPr>
            <a:ln w="9360">
              <a:solidFill>
                <a:schemeClr val="bg1">
                  <a:lumMod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(R$)</a:t>
                </a:r>
              </a:p>
            </c:rich>
          </c:tx>
          <c:overlay val="0"/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26722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581024</xdr:colOff>
      <xdr:row>19</xdr:row>
      <xdr:rowOff>0</xdr:rowOff>
    </xdr:from>
    <xdr:to>
      <xdr:col>19</xdr:col>
      <xdr:colOff>581024</xdr:colOff>
      <xdr:row>37</xdr:row>
      <xdr:rowOff>170460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9525</xdr:rowOff>
    </xdr:from>
    <xdr:to>
      <xdr:col>8</xdr:col>
      <xdr:colOff>19052</xdr:colOff>
      <xdr:row>37</xdr:row>
      <xdr:rowOff>180165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0</xdr:row>
      <xdr:rowOff>223837</xdr:rowOff>
    </xdr:from>
    <xdr:to>
      <xdr:col>16</xdr:col>
      <xdr:colOff>571500</xdr:colOff>
      <xdr:row>14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391194-205F-FFD0-96C4-BF693E7D9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14</xdr:col>
      <xdr:colOff>364320</xdr:colOff>
      <xdr:row>20</xdr:row>
      <xdr:rowOff>56160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16</xdr:col>
      <xdr:colOff>473040</xdr:colOff>
      <xdr:row>20</xdr:row>
      <xdr:rowOff>56160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16</xdr:col>
      <xdr:colOff>371475</xdr:colOff>
      <xdr:row>20</xdr:row>
      <xdr:rowOff>56160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1</xdr:row>
      <xdr:rowOff>180975</xdr:rowOff>
    </xdr:from>
    <xdr:to>
      <xdr:col>16</xdr:col>
      <xdr:colOff>266701</xdr:colOff>
      <xdr:row>16</xdr:row>
      <xdr:rowOff>96450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20</xdr:row>
      <xdr:rowOff>56160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2</xdr:row>
      <xdr:rowOff>0</xdr:rowOff>
    </xdr:from>
    <xdr:to>
      <xdr:col>19</xdr:col>
      <xdr:colOff>152400</xdr:colOff>
      <xdr:row>24</xdr:row>
      <xdr:rowOff>14400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581024</xdr:colOff>
      <xdr:row>2</xdr:row>
      <xdr:rowOff>0</xdr:rowOff>
    </xdr:from>
    <xdr:to>
      <xdr:col>18</xdr:col>
      <xdr:colOff>552450</xdr:colOff>
      <xdr:row>20</xdr:row>
      <xdr:rowOff>56160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sqref="A1:C1"/>
    </sheetView>
  </sheetViews>
  <sheetFormatPr defaultColWidth="8.7109375" defaultRowHeight="15" x14ac:dyDescent="0.25"/>
  <cols>
    <col min="1" max="1" width="6" customWidth="1"/>
    <col min="2" max="2" width="28" customWidth="1"/>
    <col min="3" max="3" width="60" customWidth="1"/>
  </cols>
  <sheetData>
    <row r="1" spans="1:3" ht="27.75" customHeight="1" x14ac:dyDescent="0.25">
      <c r="A1" s="1" t="s">
        <v>0</v>
      </c>
      <c r="B1" s="1"/>
      <c r="C1" s="1"/>
    </row>
    <row r="3" spans="1:3" ht="24" customHeight="1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>
        <v>1</v>
      </c>
      <c r="B4" s="4" t="s">
        <v>4</v>
      </c>
      <c r="C4" s="4" t="s">
        <v>5</v>
      </c>
    </row>
    <row r="5" spans="1:3" x14ac:dyDescent="0.25">
      <c r="A5" s="5">
        <v>2</v>
      </c>
      <c r="B5" s="6" t="s">
        <v>6</v>
      </c>
      <c r="C5" s="6" t="s">
        <v>7</v>
      </c>
    </row>
    <row r="6" spans="1:3" x14ac:dyDescent="0.25">
      <c r="A6" s="3">
        <v>3</v>
      </c>
      <c r="B6" s="4" t="s">
        <v>8</v>
      </c>
      <c r="C6" s="4" t="s">
        <v>9</v>
      </c>
    </row>
    <row r="7" spans="1:3" x14ac:dyDescent="0.25">
      <c r="A7" s="5">
        <v>4</v>
      </c>
      <c r="B7" s="6" t="s">
        <v>10</v>
      </c>
      <c r="C7" s="6" t="s">
        <v>11</v>
      </c>
    </row>
    <row r="8" spans="1:3" x14ac:dyDescent="0.25">
      <c r="A8" s="3">
        <v>5</v>
      </c>
      <c r="B8" s="4" t="s">
        <v>12</v>
      </c>
      <c r="C8" s="4" t="s">
        <v>13</v>
      </c>
    </row>
    <row r="9" spans="1:3" x14ac:dyDescent="0.25">
      <c r="A9" s="5">
        <v>6</v>
      </c>
      <c r="B9" s="6" t="s">
        <v>14</v>
      </c>
      <c r="C9" s="6" t="s">
        <v>15</v>
      </c>
    </row>
    <row r="10" spans="1:3" x14ac:dyDescent="0.25">
      <c r="A10" s="3">
        <v>7</v>
      </c>
      <c r="B10" s="4" t="s">
        <v>16</v>
      </c>
      <c r="C10" s="4" t="s">
        <v>17</v>
      </c>
    </row>
    <row r="11" spans="1:3" x14ac:dyDescent="0.25">
      <c r="A11" s="5">
        <v>8</v>
      </c>
      <c r="B11" s="6" t="s">
        <v>18</v>
      </c>
      <c r="C11" s="6" t="s">
        <v>19</v>
      </c>
    </row>
    <row r="12" spans="1:3" x14ac:dyDescent="0.25">
      <c r="A12" s="3">
        <v>9</v>
      </c>
      <c r="B12" s="4" t="s">
        <v>20</v>
      </c>
      <c r="C12" s="4" t="s">
        <v>21</v>
      </c>
    </row>
    <row r="13" spans="1:3" x14ac:dyDescent="0.25">
      <c r="A13" s="5">
        <v>10</v>
      </c>
      <c r="B13" s="6" t="s">
        <v>22</v>
      </c>
      <c r="C13" s="6" t="s">
        <v>23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zoomScaleNormal="100" workbookViewId="0">
      <selection activeCell="R14" sqref="R14"/>
    </sheetView>
  </sheetViews>
  <sheetFormatPr defaultColWidth="8.7109375" defaultRowHeight="15" x14ac:dyDescent="0.25"/>
  <cols>
    <col min="1" max="2" width="16" customWidth="1"/>
    <col min="3" max="3" width="20" customWidth="1"/>
  </cols>
  <sheetData>
    <row r="1" spans="1:3" ht="27.75" customHeight="1" x14ac:dyDescent="0.25">
      <c r="A1" s="1" t="s">
        <v>24</v>
      </c>
      <c r="B1" s="1"/>
      <c r="C1" s="1"/>
    </row>
    <row r="3" spans="1:3" ht="24" customHeight="1" x14ac:dyDescent="0.25">
      <c r="A3" s="7" t="s">
        <v>25</v>
      </c>
      <c r="B3" s="7" t="s">
        <v>26</v>
      </c>
      <c r="C3" s="7" t="s">
        <v>27</v>
      </c>
    </row>
    <row r="4" spans="1:3" x14ac:dyDescent="0.25">
      <c r="A4" s="8" t="s">
        <v>28</v>
      </c>
      <c r="B4" s="9">
        <v>5262</v>
      </c>
      <c r="C4" s="10">
        <v>880259</v>
      </c>
    </row>
    <row r="5" spans="1:3" x14ac:dyDescent="0.25">
      <c r="A5" s="11" t="s">
        <v>29</v>
      </c>
      <c r="B5" s="12">
        <v>9349</v>
      </c>
      <c r="C5" s="13">
        <v>1521983</v>
      </c>
    </row>
    <row r="6" spans="1:3" x14ac:dyDescent="0.25">
      <c r="A6" s="8" t="s">
        <v>30</v>
      </c>
      <c r="B6" s="9">
        <v>12642</v>
      </c>
      <c r="C6" s="10">
        <v>1994541</v>
      </c>
    </row>
    <row r="7" spans="1:3" x14ac:dyDescent="0.25">
      <c r="A7" s="11" t="s">
        <v>31</v>
      </c>
      <c r="B7" s="12">
        <v>17848</v>
      </c>
      <c r="C7" s="13">
        <v>2852962</v>
      </c>
    </row>
    <row r="8" spans="1:3" x14ac:dyDescent="0.25">
      <c r="A8" s="8" t="s">
        <v>32</v>
      </c>
      <c r="B8" s="9">
        <v>21208</v>
      </c>
      <c r="C8" s="10">
        <v>3267119</v>
      </c>
    </row>
    <row r="9" spans="1:3" x14ac:dyDescent="0.25">
      <c r="A9" s="11" t="s">
        <v>33</v>
      </c>
      <c r="B9" s="12">
        <v>19979</v>
      </c>
      <c r="C9" s="13">
        <v>3338648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Normal="100" workbookViewId="0">
      <selection activeCell="Q16" sqref="Q16"/>
    </sheetView>
  </sheetViews>
  <sheetFormatPr defaultColWidth="8.7109375" defaultRowHeight="15" x14ac:dyDescent="0.25"/>
  <cols>
    <col min="1" max="1" width="14" customWidth="1"/>
    <col min="2" max="2" width="16" customWidth="1"/>
    <col min="3" max="3" width="14" customWidth="1"/>
  </cols>
  <sheetData>
    <row r="1" spans="1:3" ht="27.75" customHeight="1" x14ac:dyDescent="0.25">
      <c r="A1" s="1" t="s">
        <v>34</v>
      </c>
      <c r="B1" s="1"/>
      <c r="C1" s="1"/>
    </row>
    <row r="3" spans="1:3" ht="24" customHeight="1" x14ac:dyDescent="0.25">
      <c r="A3" s="7" t="s">
        <v>35</v>
      </c>
      <c r="B3" s="29" t="s">
        <v>36</v>
      </c>
      <c r="C3" s="7" t="s">
        <v>37</v>
      </c>
    </row>
    <row r="4" spans="1:3" x14ac:dyDescent="0.25">
      <c r="A4" s="8" t="s">
        <v>38</v>
      </c>
      <c r="B4" s="9">
        <v>11424</v>
      </c>
      <c r="C4" s="14">
        <f>B4/SUM($B$4:$B$8)</f>
        <v>0.11495964739267817</v>
      </c>
    </row>
    <row r="5" spans="1:3" x14ac:dyDescent="0.25">
      <c r="A5" s="11" t="s">
        <v>39</v>
      </c>
      <c r="B5" s="12">
        <v>3151</v>
      </c>
      <c r="C5" s="15">
        <f>B5/SUM($B$4:$B$8)</f>
        <v>3.1708495179825706E-2</v>
      </c>
    </row>
    <row r="6" spans="1:3" x14ac:dyDescent="0.25">
      <c r="A6" s="8" t="s">
        <v>40</v>
      </c>
      <c r="B6" s="9">
        <v>8179</v>
      </c>
      <c r="C6" s="14">
        <f>B6/SUM($B$4:$B$8)</f>
        <v>8.230523074446032E-2</v>
      </c>
    </row>
    <row r="7" spans="1:3" x14ac:dyDescent="0.25">
      <c r="A7" s="11" t="s">
        <v>41</v>
      </c>
      <c r="B7" s="12">
        <v>19200</v>
      </c>
      <c r="C7" s="15">
        <f>B7/SUM($B$4:$B$8)</f>
        <v>0.19320949141626581</v>
      </c>
    </row>
    <row r="8" spans="1:3" x14ac:dyDescent="0.25">
      <c r="A8" s="8" t="s">
        <v>42</v>
      </c>
      <c r="B8" s="9">
        <v>57420</v>
      </c>
      <c r="C8" s="14">
        <f>B8/SUM($B$4:$B$8)</f>
        <v>0.57781713526677003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>
      <selection activeCell="I29" sqref="I29"/>
    </sheetView>
  </sheetViews>
  <sheetFormatPr defaultColWidth="8.7109375" defaultRowHeight="15" x14ac:dyDescent="0.25"/>
  <cols>
    <col min="1" max="1" width="28" customWidth="1"/>
    <col min="2" max="2" width="14" customWidth="1"/>
    <col min="3" max="3" width="12" customWidth="1"/>
    <col min="4" max="4" width="22" customWidth="1"/>
  </cols>
  <sheetData>
    <row r="1" spans="1:4" ht="27.75" customHeight="1" x14ac:dyDescent="0.25">
      <c r="A1" s="1" t="s">
        <v>43</v>
      </c>
      <c r="B1" s="1"/>
      <c r="C1" s="1"/>
      <c r="D1" s="1"/>
    </row>
    <row r="3" spans="1:4" ht="24" customHeight="1" x14ac:dyDescent="0.25">
      <c r="A3" s="7" t="s">
        <v>44</v>
      </c>
      <c r="B3" s="7" t="s">
        <v>45</v>
      </c>
      <c r="C3" s="7" t="s">
        <v>26</v>
      </c>
      <c r="D3" s="7" t="s">
        <v>46</v>
      </c>
    </row>
    <row r="4" spans="1:4" x14ac:dyDescent="0.25">
      <c r="A4" s="8" t="s">
        <v>47</v>
      </c>
      <c r="B4" s="16">
        <v>4.29</v>
      </c>
      <c r="C4" s="9">
        <v>89943</v>
      </c>
      <c r="D4" s="9" t="s">
        <v>48</v>
      </c>
    </row>
    <row r="5" spans="1:4" x14ac:dyDescent="0.25">
      <c r="A5" s="11" t="s">
        <v>49</v>
      </c>
      <c r="B5" s="17">
        <v>3.29</v>
      </c>
      <c r="C5" s="12">
        <v>1852</v>
      </c>
      <c r="D5" s="15">
        <f>(B5-$B$4)/$B$4</f>
        <v>-0.23310023310023309</v>
      </c>
    </row>
    <row r="6" spans="1:4" x14ac:dyDescent="0.25">
      <c r="A6" s="8" t="s">
        <v>50</v>
      </c>
      <c r="B6" s="16">
        <v>2.11</v>
      </c>
      <c r="C6" s="9">
        <v>1748</v>
      </c>
      <c r="D6" s="14">
        <f>(B6-$B$4)/$B$4</f>
        <v>-0.50815850815850816</v>
      </c>
    </row>
    <row r="7" spans="1:4" x14ac:dyDescent="0.25">
      <c r="A7" s="11" t="s">
        <v>51</v>
      </c>
      <c r="B7" s="17">
        <v>1.67</v>
      </c>
      <c r="C7" s="12">
        <v>1446</v>
      </c>
      <c r="D7" s="15">
        <f>(B7-$B$4)/$B$4</f>
        <v>-0.61072261072261069</v>
      </c>
    </row>
    <row r="8" spans="1:4" x14ac:dyDescent="0.25">
      <c r="A8" s="8" t="s">
        <v>52</v>
      </c>
      <c r="B8" s="16">
        <v>1.73</v>
      </c>
      <c r="C8" s="9">
        <v>1335</v>
      </c>
      <c r="D8" s="14">
        <f>(B8-$B$4)/$B$4</f>
        <v>-0.59673659673659674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selection activeCell="L24" sqref="L24"/>
    </sheetView>
  </sheetViews>
  <sheetFormatPr defaultColWidth="8.7109375" defaultRowHeight="15" x14ac:dyDescent="0.25"/>
  <cols>
    <col min="1" max="1" width="16" customWidth="1"/>
    <col min="2" max="2" width="18" customWidth="1"/>
    <col min="3" max="3" width="20" customWidth="1"/>
    <col min="4" max="4" width="18" customWidth="1"/>
  </cols>
  <sheetData>
    <row r="1" spans="1:4" ht="27.75" customHeight="1" x14ac:dyDescent="0.25">
      <c r="A1" s="1" t="s">
        <v>53</v>
      </c>
      <c r="B1" s="1"/>
      <c r="C1" s="1"/>
      <c r="D1" s="1"/>
    </row>
    <row r="3" spans="1:4" ht="24" customHeight="1" x14ac:dyDescent="0.25">
      <c r="A3" s="7" t="s">
        <v>54</v>
      </c>
      <c r="B3" s="7" t="s">
        <v>55</v>
      </c>
      <c r="C3" s="7" t="s">
        <v>56</v>
      </c>
      <c r="D3" s="7" t="s">
        <v>57</v>
      </c>
    </row>
    <row r="4" spans="1:4" x14ac:dyDescent="0.25">
      <c r="A4" s="8" t="s">
        <v>58</v>
      </c>
      <c r="B4" s="18">
        <v>10.3</v>
      </c>
      <c r="C4" s="18">
        <v>6.1</v>
      </c>
      <c r="D4" s="9">
        <v>66200</v>
      </c>
    </row>
    <row r="5" spans="1:4" x14ac:dyDescent="0.25">
      <c r="A5" s="11" t="s">
        <v>59</v>
      </c>
      <c r="B5" s="19">
        <v>13.6</v>
      </c>
      <c r="C5" s="19">
        <v>5.9</v>
      </c>
      <c r="D5" s="12">
        <v>13814</v>
      </c>
    </row>
    <row r="6" spans="1:4" x14ac:dyDescent="0.25">
      <c r="A6" s="8" t="s">
        <v>60</v>
      </c>
      <c r="B6" s="18">
        <v>14.6</v>
      </c>
      <c r="C6" s="18">
        <v>6.5</v>
      </c>
      <c r="D6" s="9">
        <v>5624</v>
      </c>
    </row>
    <row r="7" spans="1:4" x14ac:dyDescent="0.25">
      <c r="A7" s="20" t="s">
        <v>61</v>
      </c>
      <c r="B7" s="21">
        <v>19.5</v>
      </c>
      <c r="C7" s="21">
        <v>12.7</v>
      </c>
      <c r="D7" s="22">
        <v>9044</v>
      </c>
    </row>
    <row r="8" spans="1:4" x14ac:dyDescent="0.25">
      <c r="A8" s="8" t="s">
        <v>62</v>
      </c>
      <c r="B8" s="18">
        <v>22.1</v>
      </c>
      <c r="C8" s="18">
        <v>8.6</v>
      </c>
      <c r="D8" s="9">
        <v>1796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zoomScaleNormal="100" workbookViewId="0">
      <selection activeCell="L21" sqref="L21"/>
    </sheetView>
  </sheetViews>
  <sheetFormatPr defaultColWidth="8.7109375" defaultRowHeight="15" x14ac:dyDescent="0.25"/>
  <cols>
    <col min="1" max="1" width="22" customWidth="1"/>
    <col min="2" max="2" width="18" customWidth="1"/>
    <col min="3" max="3" width="14" customWidth="1"/>
    <col min="4" max="4" width="13.140625" customWidth="1"/>
  </cols>
  <sheetData>
    <row r="1" spans="1:4" ht="27.75" customHeight="1" x14ac:dyDescent="0.25">
      <c r="A1" s="1" t="s">
        <v>63</v>
      </c>
      <c r="B1" s="1"/>
      <c r="C1" s="1"/>
    </row>
    <row r="3" spans="1:4" ht="51.75" customHeight="1" x14ac:dyDescent="0.25">
      <c r="A3" s="7" t="s">
        <v>64</v>
      </c>
      <c r="B3" s="7" t="s">
        <v>65</v>
      </c>
      <c r="C3" s="7" t="s">
        <v>66</v>
      </c>
      <c r="D3" s="28" t="s">
        <v>132</v>
      </c>
    </row>
    <row r="4" spans="1:4" x14ac:dyDescent="0.25">
      <c r="A4" s="8" t="s">
        <v>67</v>
      </c>
      <c r="B4" s="10">
        <v>12542084</v>
      </c>
      <c r="C4" s="14">
        <f>B4/SUM($B$4:$B$7)</f>
        <v>0.78344587822589118</v>
      </c>
      <c r="D4" s="27">
        <f>B4/1000000</f>
        <v>12.542083999999999</v>
      </c>
    </row>
    <row r="5" spans="1:4" x14ac:dyDescent="0.25">
      <c r="A5" s="11" t="s">
        <v>68</v>
      </c>
      <c r="B5" s="13">
        <v>2869361</v>
      </c>
      <c r="C5" s="15">
        <f>B5/SUM($B$4:$B$7)</f>
        <v>0.17923568751350424</v>
      </c>
      <c r="D5" s="27">
        <f t="shared" ref="D5:D7" si="0">B5/1000000</f>
        <v>2.8693610000000001</v>
      </c>
    </row>
    <row r="6" spans="1:4" x14ac:dyDescent="0.25">
      <c r="A6" s="8" t="s">
        <v>69</v>
      </c>
      <c r="B6" s="10">
        <v>379437</v>
      </c>
      <c r="C6" s="14">
        <f>B6/SUM($B$4:$B$7)</f>
        <v>2.3701671404560636E-2</v>
      </c>
      <c r="D6" s="27">
        <f t="shared" si="0"/>
        <v>0.37943700000000002</v>
      </c>
    </row>
    <row r="7" spans="1:4" x14ac:dyDescent="0.25">
      <c r="A7" s="11" t="s">
        <v>70</v>
      </c>
      <c r="B7" s="13">
        <v>217989</v>
      </c>
      <c r="C7" s="15">
        <f>B7/SUM($B$4:$B$7)</f>
        <v>1.3616762856044002E-2</v>
      </c>
      <c r="D7" s="27">
        <f t="shared" si="0"/>
        <v>0.21798899999999999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zoomScaleNormal="100" workbookViewId="0">
      <selection activeCell="K26" sqref="K26"/>
    </sheetView>
  </sheetViews>
  <sheetFormatPr defaultColWidth="8.7109375" defaultRowHeight="15" x14ac:dyDescent="0.25"/>
  <cols>
    <col min="1" max="1" width="22" customWidth="1"/>
    <col min="2" max="2" width="14" customWidth="1"/>
    <col min="3" max="3" width="18" customWidth="1"/>
    <col min="4" max="4" width="16" customWidth="1"/>
  </cols>
  <sheetData>
    <row r="1" spans="1:4" ht="27.75" customHeight="1" x14ac:dyDescent="0.25">
      <c r="A1" s="1" t="s">
        <v>71</v>
      </c>
      <c r="B1" s="1"/>
      <c r="C1" s="1"/>
      <c r="D1" s="1"/>
    </row>
    <row r="3" spans="1:4" ht="24" customHeight="1" x14ac:dyDescent="0.25">
      <c r="A3" s="7" t="s">
        <v>72</v>
      </c>
      <c r="B3" s="7" t="s">
        <v>36</v>
      </c>
      <c r="C3" s="7" t="s">
        <v>27</v>
      </c>
      <c r="D3" s="7" t="s">
        <v>73</v>
      </c>
    </row>
    <row r="4" spans="1:4" x14ac:dyDescent="0.25">
      <c r="A4" s="8" t="s">
        <v>74</v>
      </c>
      <c r="B4" s="9">
        <v>1</v>
      </c>
      <c r="C4" s="10">
        <v>229472</v>
      </c>
      <c r="D4" s="14">
        <f>C4/(C7+C8)</f>
        <v>1.6883315725699975E-2</v>
      </c>
    </row>
    <row r="5" spans="1:4" x14ac:dyDescent="0.25">
      <c r="A5" s="11" t="s">
        <v>75</v>
      </c>
      <c r="B5" s="12">
        <v>10</v>
      </c>
      <c r="C5" s="13">
        <v>1787241</v>
      </c>
      <c r="D5" s="15">
        <f>C5/(C7+C8)</f>
        <v>0.13149558151284579</v>
      </c>
    </row>
    <row r="6" spans="1:4" x14ac:dyDescent="0.25">
      <c r="A6" s="8" t="s">
        <v>76</v>
      </c>
      <c r="B6" s="9">
        <v>100</v>
      </c>
      <c r="C6" s="10">
        <v>6124587</v>
      </c>
      <c r="D6" s="14">
        <f>C6/(C7+C8)</f>
        <v>0.45061417519574343</v>
      </c>
    </row>
    <row r="7" spans="1:4" x14ac:dyDescent="0.25">
      <c r="A7" s="11" t="s">
        <v>77</v>
      </c>
      <c r="B7" s="12">
        <v>309</v>
      </c>
      <c r="C7" s="13">
        <v>9173621</v>
      </c>
      <c r="D7" s="15">
        <f>C7/(C7+C8)</f>
        <v>0.67494570008938581</v>
      </c>
    </row>
    <row r="8" spans="1:4" x14ac:dyDescent="0.25">
      <c r="A8" s="8" t="s">
        <v>78</v>
      </c>
      <c r="B8" s="9">
        <v>2786</v>
      </c>
      <c r="C8" s="10">
        <v>4418022</v>
      </c>
      <c r="D8" s="14">
        <f>(C7+C8)/(C7+C8)</f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Normal="100" workbookViewId="0">
      <selection activeCell="M30" sqref="M30"/>
    </sheetView>
  </sheetViews>
  <sheetFormatPr defaultColWidth="8.7109375" defaultRowHeight="15" x14ac:dyDescent="0.25"/>
  <cols>
    <col min="1" max="1" width="26" customWidth="1"/>
    <col min="2" max="2" width="18" customWidth="1"/>
    <col min="3" max="3" width="14" customWidth="1"/>
  </cols>
  <sheetData>
    <row r="1" spans="1:3" ht="27.75" customHeight="1" x14ac:dyDescent="0.25">
      <c r="A1" s="1" t="s">
        <v>79</v>
      </c>
      <c r="B1" s="1"/>
      <c r="C1" s="1"/>
    </row>
    <row r="3" spans="1:3" ht="24" customHeight="1" x14ac:dyDescent="0.25">
      <c r="A3" s="7" t="s">
        <v>80</v>
      </c>
      <c r="B3" s="7" t="s">
        <v>27</v>
      </c>
      <c r="C3" s="7" t="s">
        <v>37</v>
      </c>
    </row>
    <row r="4" spans="1:3" x14ac:dyDescent="0.25">
      <c r="A4" s="8" t="s">
        <v>81</v>
      </c>
      <c r="B4" s="10">
        <v>1258681</v>
      </c>
      <c r="C4" s="14">
        <f t="shared" ref="C4:C13" si="0">B4/SUM($B$4:$B$13)</f>
        <v>0.15416833398066149</v>
      </c>
    </row>
    <row r="5" spans="1:3" x14ac:dyDescent="0.25">
      <c r="A5" s="11" t="s">
        <v>82</v>
      </c>
      <c r="B5" s="13">
        <v>1205005</v>
      </c>
      <c r="C5" s="15">
        <f t="shared" si="0"/>
        <v>0.14759388064836682</v>
      </c>
    </row>
    <row r="6" spans="1:3" x14ac:dyDescent="0.25">
      <c r="A6" s="8" t="s">
        <v>83</v>
      </c>
      <c r="B6" s="10">
        <v>1036988</v>
      </c>
      <c r="C6" s="14">
        <f t="shared" si="0"/>
        <v>0.12701447969575944</v>
      </c>
    </row>
    <row r="7" spans="1:3" x14ac:dyDescent="0.25">
      <c r="A7" s="11" t="s">
        <v>84</v>
      </c>
      <c r="B7" s="13">
        <v>988048</v>
      </c>
      <c r="C7" s="15">
        <f t="shared" si="0"/>
        <v>0.12102011077701548</v>
      </c>
    </row>
    <row r="8" spans="1:3" x14ac:dyDescent="0.25">
      <c r="A8" s="8" t="s">
        <v>85</v>
      </c>
      <c r="B8" s="10">
        <v>911954</v>
      </c>
      <c r="C8" s="14">
        <f t="shared" si="0"/>
        <v>0.11169981023547679</v>
      </c>
    </row>
    <row r="9" spans="1:3" x14ac:dyDescent="0.25">
      <c r="A9" s="11" t="s">
        <v>86</v>
      </c>
      <c r="B9" s="13">
        <v>729762</v>
      </c>
      <c r="C9" s="15">
        <f t="shared" si="0"/>
        <v>8.9384198015538083E-2</v>
      </c>
    </row>
    <row r="10" spans="1:3" x14ac:dyDescent="0.25">
      <c r="A10" s="8" t="s">
        <v>87</v>
      </c>
      <c r="B10" s="10">
        <v>632248</v>
      </c>
      <c r="C10" s="14">
        <f t="shared" si="0"/>
        <v>7.7440289336698706E-2</v>
      </c>
    </row>
    <row r="11" spans="1:3" x14ac:dyDescent="0.25">
      <c r="A11" s="11" t="s">
        <v>88</v>
      </c>
      <c r="B11" s="13">
        <v>592720</v>
      </c>
      <c r="C11" s="15">
        <f t="shared" si="0"/>
        <v>7.2598740202654749E-2</v>
      </c>
    </row>
    <row r="12" spans="1:3" x14ac:dyDescent="0.25">
      <c r="A12" s="8" t="s">
        <v>89</v>
      </c>
      <c r="B12" s="10">
        <v>485256</v>
      </c>
      <c r="C12" s="14">
        <f t="shared" si="0"/>
        <v>5.9436115325582788E-2</v>
      </c>
    </row>
    <row r="13" spans="1:3" x14ac:dyDescent="0.25">
      <c r="A13" s="11" t="s">
        <v>90</v>
      </c>
      <c r="B13" s="13">
        <v>323667</v>
      </c>
      <c r="C13" s="15">
        <f t="shared" si="0"/>
        <v>3.9644041782245669E-2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zoomScaleNormal="100" workbookViewId="0">
      <selection activeCell="D30" sqref="D30"/>
    </sheetView>
  </sheetViews>
  <sheetFormatPr defaultColWidth="8.7109375" defaultRowHeight="15" x14ac:dyDescent="0.25"/>
  <cols>
    <col min="1" max="1" width="22" customWidth="1"/>
    <col min="2" max="2" width="12" customWidth="1"/>
    <col min="3" max="4" width="16" customWidth="1"/>
    <col min="5" max="5" width="14" customWidth="1"/>
  </cols>
  <sheetData>
    <row r="1" spans="1:5" ht="27.75" customHeight="1" x14ac:dyDescent="0.25">
      <c r="A1" s="1" t="s">
        <v>91</v>
      </c>
      <c r="B1" s="1"/>
      <c r="C1" s="1"/>
      <c r="D1" s="1"/>
      <c r="E1" s="1"/>
    </row>
    <row r="3" spans="1:5" ht="24" customHeight="1" x14ac:dyDescent="0.25">
      <c r="A3" s="7" t="s">
        <v>80</v>
      </c>
      <c r="B3" s="7" t="s">
        <v>26</v>
      </c>
      <c r="C3" s="7" t="s">
        <v>27</v>
      </c>
      <c r="D3" s="7" t="s">
        <v>55</v>
      </c>
      <c r="E3" s="7" t="s">
        <v>92</v>
      </c>
    </row>
    <row r="4" spans="1:5" x14ac:dyDescent="0.25">
      <c r="A4" s="8" t="s">
        <v>93</v>
      </c>
      <c r="B4" s="9">
        <v>1054</v>
      </c>
      <c r="C4" s="10">
        <v>195557</v>
      </c>
      <c r="D4" s="18">
        <v>19.5</v>
      </c>
      <c r="E4" s="18">
        <v>15.8</v>
      </c>
    </row>
    <row r="5" spans="1:5" x14ac:dyDescent="0.25">
      <c r="A5" s="11" t="s">
        <v>82</v>
      </c>
      <c r="B5" s="12">
        <v>721</v>
      </c>
      <c r="C5" s="13">
        <v>160657</v>
      </c>
      <c r="D5" s="19">
        <v>19.3</v>
      </c>
      <c r="E5" s="19">
        <v>12.8</v>
      </c>
    </row>
    <row r="6" spans="1:5" x14ac:dyDescent="0.25">
      <c r="A6" s="8" t="s">
        <v>94</v>
      </c>
      <c r="B6" s="9">
        <v>618</v>
      </c>
      <c r="C6" s="10">
        <v>95716</v>
      </c>
      <c r="D6" s="18">
        <v>18.3</v>
      </c>
      <c r="E6" s="18">
        <v>9.5</v>
      </c>
    </row>
    <row r="7" spans="1:5" x14ac:dyDescent="0.25">
      <c r="A7" s="11" t="s">
        <v>84</v>
      </c>
      <c r="B7" s="12">
        <v>660</v>
      </c>
      <c r="C7" s="13">
        <v>94492</v>
      </c>
      <c r="D7" s="19">
        <v>18.7</v>
      </c>
      <c r="E7" s="19">
        <v>11.2</v>
      </c>
    </row>
    <row r="8" spans="1:5" x14ac:dyDescent="0.25">
      <c r="A8" s="8" t="s">
        <v>88</v>
      </c>
      <c r="B8" s="9">
        <v>417</v>
      </c>
      <c r="C8" s="10">
        <v>82314</v>
      </c>
      <c r="D8" s="18">
        <v>20</v>
      </c>
      <c r="E8" s="18">
        <v>15.4</v>
      </c>
    </row>
    <row r="9" spans="1:5" x14ac:dyDescent="0.25">
      <c r="A9" s="11" t="s">
        <v>95</v>
      </c>
      <c r="B9" s="12">
        <v>381</v>
      </c>
      <c r="C9" s="13">
        <v>74391</v>
      </c>
      <c r="D9" s="19">
        <v>18.399999999999999</v>
      </c>
      <c r="E9" s="19">
        <v>8.1999999999999993</v>
      </c>
    </row>
    <row r="10" spans="1:5" x14ac:dyDescent="0.25">
      <c r="A10" s="8" t="s">
        <v>86</v>
      </c>
      <c r="B10" s="9">
        <v>486</v>
      </c>
      <c r="C10" s="10">
        <v>61956</v>
      </c>
      <c r="D10" s="18">
        <v>20.7</v>
      </c>
      <c r="E10" s="18">
        <v>15</v>
      </c>
    </row>
    <row r="11" spans="1:5" x14ac:dyDescent="0.25">
      <c r="A11" s="11" t="s">
        <v>90</v>
      </c>
      <c r="B11" s="12">
        <v>617</v>
      </c>
      <c r="C11" s="13">
        <v>60615</v>
      </c>
      <c r="D11" s="19">
        <v>19.3</v>
      </c>
      <c r="E11" s="19">
        <v>13.7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zoomScaleNormal="100" workbookViewId="0">
      <selection sqref="A1:C1"/>
    </sheetView>
  </sheetViews>
  <sheetFormatPr defaultColWidth="8.7109375" defaultRowHeight="15" x14ac:dyDescent="0.25"/>
  <cols>
    <col min="1" max="1" width="38" customWidth="1"/>
    <col min="2" max="2" width="50" customWidth="1"/>
    <col min="3" max="3" width="40" customWidth="1"/>
  </cols>
  <sheetData>
    <row r="1" spans="1:3" ht="27.75" customHeight="1" x14ac:dyDescent="0.25">
      <c r="A1" s="1" t="s">
        <v>96</v>
      </c>
      <c r="B1" s="1"/>
      <c r="C1" s="1"/>
    </row>
    <row r="3" spans="1:3" ht="24" customHeight="1" x14ac:dyDescent="0.25">
      <c r="A3" s="7" t="s">
        <v>97</v>
      </c>
      <c r="B3" s="7" t="s">
        <v>98</v>
      </c>
      <c r="C3" s="7" t="s">
        <v>99</v>
      </c>
    </row>
    <row r="4" spans="1:3" ht="49.5" customHeight="1" x14ac:dyDescent="0.25">
      <c r="A4" s="23" t="s">
        <v>100</v>
      </c>
      <c r="B4" s="23" t="s">
        <v>101</v>
      </c>
      <c r="C4" s="23" t="s">
        <v>102</v>
      </c>
    </row>
    <row r="5" spans="1:3" ht="49.5" customHeight="1" x14ac:dyDescent="0.25">
      <c r="A5" s="24" t="s">
        <v>103</v>
      </c>
      <c r="B5" s="24" t="s">
        <v>104</v>
      </c>
      <c r="C5" s="24" t="s">
        <v>105</v>
      </c>
    </row>
    <row r="6" spans="1:3" ht="49.5" customHeight="1" x14ac:dyDescent="0.25">
      <c r="A6" s="23" t="s">
        <v>106</v>
      </c>
      <c r="B6" s="23" t="s">
        <v>107</v>
      </c>
      <c r="C6" s="23" t="s">
        <v>108</v>
      </c>
    </row>
    <row r="7" spans="1:3" ht="49.5" customHeight="1" x14ac:dyDescent="0.25">
      <c r="A7" s="24" t="s">
        <v>109</v>
      </c>
      <c r="B7" s="24" t="s">
        <v>110</v>
      </c>
      <c r="C7" s="24" t="s">
        <v>111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zoomScaleNormal="100" workbookViewId="0">
      <selection sqref="A1:E1"/>
    </sheetView>
  </sheetViews>
  <sheetFormatPr defaultColWidth="8.7109375" defaultRowHeight="15" x14ac:dyDescent="0.25"/>
  <cols>
    <col min="1" max="1" width="22" customWidth="1"/>
    <col min="2" max="2" width="35" customWidth="1"/>
    <col min="3" max="4" width="14" customWidth="1"/>
    <col min="5" max="5" width="40" customWidth="1"/>
  </cols>
  <sheetData>
    <row r="1" spans="1:5" ht="27.75" customHeight="1" x14ac:dyDescent="0.25">
      <c r="A1" s="1" t="s">
        <v>112</v>
      </c>
      <c r="B1" s="1"/>
      <c r="C1" s="1"/>
      <c r="D1" s="1"/>
      <c r="E1" s="1"/>
    </row>
    <row r="3" spans="1:5" ht="24" customHeight="1" x14ac:dyDescent="0.25">
      <c r="A3" s="7" t="s">
        <v>113</v>
      </c>
      <c r="B3" s="7" t="s">
        <v>114</v>
      </c>
      <c r="C3" s="7" t="s">
        <v>115</v>
      </c>
      <c r="D3" s="7" t="s">
        <v>97</v>
      </c>
      <c r="E3" s="7" t="s">
        <v>116</v>
      </c>
    </row>
    <row r="4" spans="1:5" ht="48" customHeight="1" x14ac:dyDescent="0.25">
      <c r="A4" s="23" t="s">
        <v>117</v>
      </c>
      <c r="B4" s="23" t="s">
        <v>118</v>
      </c>
      <c r="C4" s="23" t="s">
        <v>119</v>
      </c>
      <c r="D4" s="23" t="s">
        <v>120</v>
      </c>
      <c r="E4" s="25" t="s">
        <v>121</v>
      </c>
    </row>
    <row r="5" spans="1:5" ht="48" customHeight="1" x14ac:dyDescent="0.25">
      <c r="A5" s="24" t="s">
        <v>122</v>
      </c>
      <c r="B5" s="24" t="s">
        <v>123</v>
      </c>
      <c r="C5" s="24" t="s">
        <v>124</v>
      </c>
      <c r="D5" s="24" t="s">
        <v>125</v>
      </c>
      <c r="E5" s="26" t="s">
        <v>126</v>
      </c>
    </row>
    <row r="6" spans="1:5" ht="48" customHeight="1" x14ac:dyDescent="0.25">
      <c r="A6" s="23" t="s">
        <v>127</v>
      </c>
      <c r="B6" s="23" t="s">
        <v>128</v>
      </c>
      <c r="C6" s="23" t="s">
        <v>129</v>
      </c>
      <c r="D6" s="23" t="s">
        <v>130</v>
      </c>
      <c r="E6" s="25" t="s">
        <v>131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Índice</vt:lpstr>
      <vt:lpstr>1. Evolução Quarter</vt:lpstr>
      <vt:lpstr>2. Distribuição Reviews</vt:lpstr>
      <vt:lpstr>3. Atraso x Nota</vt:lpstr>
      <vt:lpstr>4. Lead Time por Região</vt:lpstr>
      <vt:lpstr>5. Pagamento</vt:lpstr>
      <vt:lpstr>6. Pareto Sellers</vt:lpstr>
      <vt:lpstr>7. Top Categorias</vt:lpstr>
      <vt:lpstr>8. Categorias Nordeste</vt:lpstr>
      <vt:lpstr>9. Drivers do Problema</vt:lpstr>
      <vt:lpstr>10. Plano de 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Rodrigo Fonseca Bernardino de Sousa</cp:lastModifiedBy>
  <cp:revision>1</cp:revision>
  <dcterms:created xsi:type="dcterms:W3CDTF">2026-04-29T01:30:12Z</dcterms:created>
  <dcterms:modified xsi:type="dcterms:W3CDTF">2026-04-29T12:33:08Z</dcterms:modified>
  <dc:language>en-US</dc:language>
</cp:coreProperties>
</file>